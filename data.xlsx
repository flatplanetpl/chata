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2c2d7a6a6a46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eszkania" sheetId="1" r:id="R20796edd53d24c8c"/>
    <x:sheet xmlns:r="http://schemas.openxmlformats.org/officeDocument/2006/relationships" name="Legenda" sheetId="2" r:id="R1b369318b2b147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.00 &quot;zł&quot;"/>
    <x:numFmt numFmtId="202" formatCode="0.00"/>
    <x:numFmt numFmtId="203" formatCode="0.0 &quot;zł/m²&quot;"/>
    <x:numFmt numFmtId="204" formatCode="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334155"/>
      <x:name val="Carlito"/>
    </x:font>
    <x:font>
      <x:b/>
      <x:sz val="12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9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 applyAlignment="1">
      <x:alignment horizontal="center" vertical="top" wrapText="1"/>
    </x:xf>
    <x:xf numFmtId="201" fontId="0" fillId="0" borderId="1" xfId="0" applyNumberFormat="1" applyFont="1" applyFill="1" applyBorder="1" applyAlignment="1">
      <x:alignment horizontal="center" vertical="top" wrapText="1"/>
    </x:xf>
    <x:xf numFmtId="202" fontId="0" fillId="0" borderId="0" xfId="0" applyNumberFormat="1" applyFont="1" applyFill="1" applyBorder="1" applyAlignment="1">
      <x:alignment horizontal="center" vertical="top" wrapText="1"/>
    </x:xf>
    <x:xf numFmtId="202" fontId="0" fillId="0" borderId="1" xfId="0" applyNumberFormat="1" applyFont="1" applyFill="1" applyBorder="1" applyAlignment="1">
      <x:alignment horizontal="center" vertical="top" wrapText="1"/>
    </x:xf>
    <x:xf numFmtId="203" fontId="0" fillId="0" borderId="0" xfId="0" applyNumberFormat="1" applyFont="1" applyFill="1" applyBorder="1" applyAlignment="1">
      <x:alignment horizontal="center" vertical="top" wrapText="1"/>
    </x:xf>
    <x:xf numFmtId="203" fontId="0" fillId="0" borderId="1" xfId="0" applyNumberFormat="1" applyFont="1" applyFill="1" applyBorder="1" applyAlignment="1">
      <x:alignment horizontal="center" vertical="top" wrapText="1"/>
    </x:xf>
    <x:xf numFmtId="204" fontId="0" fillId="0" borderId="0" xfId="0" applyNumberFormat="1" applyFont="1" applyFill="1" applyBorder="1" applyAlignment="1">
      <x:alignment horizontal="center" vertical="top" wrapText="1"/>
    </x:xf>
    <x:xf numFmtId="204" fontId="0" fillId="0" borderId="1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color rgb="FF1E40AF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889680d0fb4f4a" /><Relationship Type="http://schemas.openxmlformats.org/officeDocument/2006/relationships/theme" Target="/xl/theme/theme1.xml" Id="Rb00d6a2a8b174f48" /><Relationship Type="http://schemas.openxmlformats.org/officeDocument/2006/relationships/sharedStrings" Target="/xl/sharedStrings.xml" Id="Rf45fb25f22e440ac" /><Relationship Type="http://schemas.openxmlformats.org/officeDocument/2006/relationships/worksheet" Target="/xl/worksheets/sheet1.xml" Id="R20796edd53d24c8c" /><Relationship Type="http://schemas.openxmlformats.org/officeDocument/2006/relationships/worksheet" Target="/xl/worksheets/sheet2.xml" Id="R1b369318b2b1472e" /></Relationships>
</file>

<file path=xl/tables/table1.xml><?xml version="1.0" encoding="utf-8"?>
<x:table xmlns:x="http://schemas.openxmlformats.org/spreadsheetml/2006/main" id="1" name="MieszkaniaTable" displayName="MieszkaniaTable" ref="A6:T32" headerRowCount="1" totalsRowCount="0" totalsRowShown="0">
  <x:tableColumns count="20">
    <x:tableColumn id="1" name="Data znalezienia"/>
    <x:tableColumn id="2" name="Data ogłoszenia"/>
    <x:tableColumn id="3" name="Nowe?"/>
    <x:tableColumn id="4" name="Status"/>
    <x:tableColumn id="5" name="Aktywność"/>
    <x:tableColumn id="6" name="Lokalizacja / ulica"/>
    <x:tableColumn id="7" name="Portal"/>
    <x:tableColumn id="8" name="Najem [zł]"/>
    <x:tableColumn id="9" name="Opłaty znane [zł]"/>
    <x:tableColumn id="10" name="Znany koszt razem [zł]"/>
    <x:tableColumn id="11" name="Metraż [m²]"/>
    <x:tableColumn id="12" name="Najem / m²"/>
    <x:tableColumn id="13" name="Pokoje"/>
    <x:tableColumn id="14" name="Kot / zwierzęta"/>
    <x:tableColumn id="15" name="Dodatki"/>
    <x:tableColumn id="16" name="Krótki opis / atuty"/>
    <x:tableColumn id="17" name="Szczegóły opłat"/>
    <x:tableColumn id="18" name="Uwagi własne"/>
    <x:tableColumn id="19" name="Link"/>
    <x:tableColumn id="20" name="Ostatnia weryfikacj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fa3f4149014bc8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8" hidden="0" customWidth="1"/>
    <x:col min="4" max="4" width="14" hidden="0" customWidth="1"/>
    <x:col min="5" max="5" width="15" hidden="0" customWidth="1"/>
    <x:col min="6" max="6" width="26" hidden="0" customWidth="1"/>
    <x:col min="7" max="7" width="11" hidden="0" customWidth="1"/>
    <x:col min="8" max="8" width="12" hidden="0" customWidth="1"/>
    <x:col min="9" max="9" width="14" hidden="0" customWidth="1"/>
    <x:col min="10" max="10" width="17" hidden="0" customWidth="1"/>
    <x:col min="11" max="11" width="11" hidden="0" customWidth="1"/>
    <x:col min="12" max="12" width="12" hidden="0" customWidth="1"/>
    <x:col min="13" max="13" width="8" hidden="0" customWidth="1"/>
    <x:col min="14" max="14" width="15" hidden="0" customWidth="1"/>
    <x:col min="15" max="15" width="28" hidden="0" customWidth="1"/>
    <x:col min="16" max="16" width="36" hidden="0" customWidth="1"/>
    <x:col min="17" max="17" width="31" hidden="0" customWidth="1"/>
    <x:col min="18" max="18" width="28" hidden="0" customWidth="1"/>
    <x:col min="19" max="19" width="46" hidden="0" customWidth="1"/>
    <x:col min="20" max="20" width="15" hidden="0" customWidth="1"/>
  </x:cols>
  <x:sheetData>
    <x:row r="1" ht="28" customHeight="1">
      <x:c r="A1" s="5" t="str">
        <x:v>Mieszkania do wynajęcia — Ołtaszyn i okolice</x:v>
      </x:c>
    </x:row>
    <x:row r="2" ht="30" customHeight="1">
      <x:c r="A2" s="13" t="str">
        <x:v>Filtr: 3 pokoje • do 3700 zł samego najmu • Ołtaszyn + ok. 3 km • kot akceptowany lub brak wyraźnego zakazu. Oferty odrzucone/nieaktualne zostawione jako historia.</x:v>
      </x:c>
    </x:row>
    <x:row r="3">
      <x:c r="A3" s="21" t="str">
        <x:v>Ofert w arkuszu</x:v>
      </x:c>
      <x:c r="B3" s="21"/>
      <x:c r="C3" s="29" t="n">
        <x:f>COUNTA(A7:A32)</x:f>
        <x:v>26</x:v>
      </x:c>
      <x:c r="E3" s="21" t="str">
        <x:v>Aktywne / do weryfikacji</x:v>
      </x:c>
      <x:c r="F3" s="21"/>
      <x:c r="G3" s="29" t="n">
        <x:f>COUNTIF(E7:E32,"Aktywne")+COUNTIF(E7:E32,"Do weryfikacji")</x:f>
        <x:v>24</x:v>
      </x:c>
      <x:c r="I3" s="21" t="str">
        <x:v>Kot: TAK</x:v>
      </x:c>
      <x:c r="J3" s="21"/>
      <x:c r="K3" s="29" t="n">
        <x:f>COUNTIF(N7:N32,"Tak")</x:f>
        <x:v>6</x:v>
      </x:c>
      <x:c r="M3" s="21" t="str">
        <x:v>Nowe w tym przeglądzie</x:v>
      </x:c>
      <x:c r="N3" s="21"/>
      <x:c r="O3" s="29" t="n">
        <x:f>COUNTIF(C7:C32,"TAK")</x:f>
        <x:v>6</x:v>
      </x:c>
    </x:row>
    <x:row r="6" ht="32" customHeight="1">
      <x:c r="A6" s="38" t="str">
        <x:v>Data znalezienia</x:v>
      </x:c>
      <x:c r="B6" s="38" t="str">
        <x:v>Data ogłoszenia</x:v>
      </x:c>
      <x:c r="C6" s="38" t="str">
        <x:v>Nowe?</x:v>
      </x:c>
      <x:c r="D6" s="38" t="str">
        <x:v>Status</x:v>
      </x:c>
      <x:c r="E6" s="38" t="str">
        <x:v>Aktywność</x:v>
      </x:c>
      <x:c r="F6" s="38" t="str">
        <x:v>Lokalizacja / ulica</x:v>
      </x:c>
      <x:c r="G6" s="38" t="str">
        <x:v>Portal</x:v>
      </x:c>
      <x:c r="H6" s="38" t="str">
        <x:v>Najem [zł]</x:v>
      </x:c>
      <x:c r="I6" s="38" t="str">
        <x:v>Opłaty znane [zł]</x:v>
      </x:c>
      <x:c r="J6" s="38" t="str">
        <x:v>Znany koszt razem [zł]</x:v>
      </x:c>
      <x:c r="K6" s="38" t="str">
        <x:v>Metraż [m²]</x:v>
      </x:c>
      <x:c r="L6" s="38" t="str">
        <x:v>Najem / m²</x:v>
      </x:c>
      <x:c r="M6" s="38" t="str">
        <x:v>Pokoje</x:v>
      </x:c>
      <x:c r="N6" s="38" t="str">
        <x:v>Kot / zwierzęta</x:v>
      </x:c>
      <x:c r="O6" s="38" t="str">
        <x:v>Dodatki</x:v>
      </x:c>
      <x:c r="P6" s="38" t="str">
        <x:v>Krótki opis / atuty</x:v>
      </x:c>
      <x:c r="Q6" s="38" t="str">
        <x:v>Szczegóły opłat</x:v>
      </x:c>
      <x:c r="R6" s="38" t="str">
        <x:v>Uwagi własne</x:v>
      </x:c>
      <x:c r="S6" s="38" t="str">
        <x:v>Link</x:v>
      </x:c>
      <x:c r="T6" s="38" t="str">
        <x:v>Ostatnia weryfikacja</x:v>
      </x:c>
    </x:row>
    <x:row r="7" ht="42" customHeight="1">
      <x:c r="A7" s="79" t="n">
        <x:v>46295</x:v>
      </x:c>
      <x:c r="B7" s="79" t="n">
        <x:v>46290</x:v>
      </x:c>
      <x:c r="C7" s="81" t="str">
        <x:f>IF(A7=DATE(2026,9,30),"TAK","")</x:f>
        <x:v>TAK</x:v>
      </x:c>
      <x:c r="D7" s="81" t="str">
        <x:v>Odrzucone</x:v>
      </x:c>
      <x:c r="E7" s="81" t="str">
        <x:v>Aktywne</x:v>
      </x:c>
      <x:c r="F7" s="62" t="str">
        <x:v>Klecina / ul. Jutrzenki</x:v>
      </x:c>
      <x:c r="G7" s="81" t="str">
        <x:v>Gratka</x:v>
      </x:c>
      <x:c r="H7" s="83" t="n">
        <x:v>3250</x:v>
      </x:c>
      <x:c r="I7" s="83" t="n">
        <x:v>1005</x:v>
      </x:c>
      <x:c r="J7" s="83" t="n">
        <x:f>IF(I7="","",H7+I7)</x:f>
        <x:v>4255</x:v>
      </x:c>
      <x:c r="K7" s="85" t="n">
        <x:v>56.8</x:v>
      </x:c>
      <x:c r="L7" s="87" t="n">
        <x:f>IFERROR(H7/K7,"")</x:f>
        <x:v>57.218309859154935</x:v>
      </x:c>
      <x:c r="M7" s="89" t="n">
        <x:v>3</x:v>
      </x:c>
      <x:c r="N7" s="81" t="str">
        <x:v>Nie</x:v>
      </x:c>
      <x:c r="O7" s="62" t="str">
        <x:v>balkon, garderoba, winda, garaż opcj. 250 zł</x:v>
      </x:c>
      <x:c r="P7" s="62" t="str">
        <x:v>Ładne i funkcjonalne, ale ogłoszenie wprost nie akceptuje zwierząt.</x:v>
      </x:c>
      <x:c r="Q7" s="62" t="str">
        <x:v>940 zł admin. + internet 65 zł + prąd; garaż opcj. 250 zł</x:v>
      </x:c>
      <x:c r="R7" s="62" t="str"/>
      <x:c r="S7" s="62" t="str">
        <x:v>https://gratka.pl/nieruchomosci/mieszkanie-wroclaw-krzyki-jutrzenki/ob/49082399</x:v>
      </x:c>
      <x:c r="T7" s="79" t="n">
        <x:v>46295</x:v>
      </x:c>
    </x:row>
    <x:row r="8" ht="42" customHeight="1">
      <x:c r="A8" s="79" t="n">
        <x:v>46295</x:v>
      </x:c>
      <x:c r="B8" s="79" t="n">
        <x:v>46284</x:v>
      </x:c>
      <x:c r="C8" s="81" t="str">
        <x:f>IF(A8=DATE(2026,9,30),"TAK","")</x:f>
        <x:v>TAK</x:v>
      </x:c>
      <x:c r="D8" s="81" t="str">
        <x:v>Do sprawdzenia</x:v>
      </x:c>
      <x:c r="E8" s="81" t="str">
        <x:v>Aktywne</x:v>
      </x:c>
      <x:c r="F8" s="62" t="str">
        <x:v>Wojszyce / okolice Ołtaszyna</x:v>
      </x:c>
      <x:c r="G8" s="81" t="str">
        <x:v>OLX</x:v>
      </x:c>
      <x:c r="H8" s="83" t="n">
        <x:v>3650</x:v>
      </x:c>
      <x:c r="I8" s="83" t="n">
        <x:v>1000</x:v>
      </x:c>
      <x:c r="J8" s="83" t="n">
        <x:f>IF(I8="","",H8+I8)</x:f>
        <x:v>4650</x:v>
      </x:c>
      <x:c r="K8" s="85" t="n">
        <x:v>60</x:v>
      </x:c>
      <x:c r="L8" s="87" t="n">
        <x:f>IFERROR(H8/K8,"")</x:f>
        <x:v>60.833333333333336</x:v>
      </x:c>
      <x:c r="M8" s="89" t="n">
        <x:v>3</x:v>
      </x:c>
      <x:c r="N8" s="81" t="str">
        <x:v>Brak info</x:v>
      </x:c>
      <x:c r="O8" s="62" t="str">
        <x:v>taras 30 m², winda, miejsce postojowe</x:v>
      </x:c>
      <x:c r="P8" s="62" t="str">
        <x:v>Duży taras, cicha okolica, miejsce postojowe w cenie.</x:v>
      </x:c>
      <x:c r="Q8" s="62" t="str">
        <x:v>ok. 1000 zł zaliczki: zarządca + prąd</x:v>
      </x:c>
      <x:c r="R8" s="62" t="str"/>
      <x:c r="S8" s="62" t="str">
        <x:v>https://www.olx.pl/d/oferta/3pokoje-taras30m2-winda-lazienkazoknem-miejscepostojowe-cisz-CID3-ID1conBV.html</x:v>
      </x:c>
      <x:c r="T8" s="79" t="n">
        <x:v>46295</x:v>
      </x:c>
    </x:row>
    <x:row r="9" ht="42" customHeight="1">
      <x:c r="A9" s="79" t="n">
        <x:v>46295</x:v>
      </x:c>
      <x:c r="B9" s="79" t="n">
        <x:v>46259</x:v>
      </x:c>
      <x:c r="C9" s="81" t="str">
        <x:f>IF(A9=DATE(2026,9,30),"TAK","")</x:f>
        <x:v>TAK</x:v>
      </x:c>
      <x:c r="D9" s="81" t="str">
        <x:v>Do sprawdzenia</x:v>
      </x:c>
      <x:c r="E9" s="81" t="str">
        <x:v>Aktywne</x:v>
      </x:c>
      <x:c r="F9" s="62" t="str">
        <x:v>Partynice / ul. Przyjaźni</x:v>
      </x:c>
      <x:c r="G9" s="81" t="str">
        <x:v>Gratka</x:v>
      </x:c>
      <x:c r="H9" s="83" t="n">
        <x:v>3600</x:v>
      </x:c>
      <x:c r="I9" s="83" t="n">
        <x:v>800</x:v>
      </x:c>
      <x:c r="J9" s="83" t="n">
        <x:f>IF(I9="","",H9+I9)</x:f>
        <x:v>4400</x:v>
      </x:c>
      <x:c r="K9" s="85" t="n">
        <x:v>63</x:v>
      </x:c>
      <x:c r="L9" s="87" t="n">
        <x:f>IFERROR(H9/K9,"")</x:f>
        <x:v>57.142857142857146</x:v>
      </x:c>
      <x:c r="M9" s="89" t="n">
        <x:v>3</x:v>
      </x:c>
      <x:c r="N9" s="81" t="str">
        <x:v>Brak info</x:v>
      </x:c>
      <x:c r="O9" s="62" t="str">
        <x:v>2 balkony, winda, garaż opcjonalny</x:v>
      </x:c>
      <x:c r="P9" s="62" t="str">
        <x:v>Jasne, dwustronne, 2 sypialnie + salon z aneksem; bez prowizji dla najemcy.</x:v>
      </x:c>
      <x:c r="Q9" s="62" t="str">
        <x:v>ok. 800 zł zarządca + prąd; garaż dodatkowo do uzgodnienia</x:v>
      </x:c>
      <x:c r="R9" s="62" t="str"/>
      <x:c r="S9" s="62" t="str">
        <x:v>https://gratka.pl/nieruchomosci/mieszkanie-wroclaw-krzyki-miejsce-postojowe-2-balkony/ob/48724501</x:v>
      </x:c>
      <x:c r="T9" s="79" t="n">
        <x:v>46295</x:v>
      </x:c>
    </x:row>
    <x:row r="10" ht="42" customHeight="1">
      <x:c r="A10" s="79" t="n">
        <x:v>46295</x:v>
      </x:c>
      <x:c r="B10" s="79" t="n">
        <x:v>46246</x:v>
      </x:c>
      <x:c r="C10" s="81" t="str">
        <x:f>IF(A10=DATE(2026,9,30),"TAK","")</x:f>
        <x:v>TAK</x:v>
      </x:c>
      <x:c r="D10" s="81" t="str">
        <x:v>Ciekawe</x:v>
      </x:c>
      <x:c r="E10" s="81" t="str">
        <x:v>Aktywne</x:v>
      </x:c>
      <x:c r="F10" s="62" t="str">
        <x:v>Klecina / okolice Cukrowej</x:v>
      </x:c>
      <x:c r="G10" s="81" t="str">
        <x:v>Gratka</x:v>
      </x:c>
      <x:c r="H10" s="83" t="n">
        <x:v>3200</x:v>
      </x:c>
      <x:c r="I10" s="83" t="n">
        <x:v>850</x:v>
      </x:c>
      <x:c r="J10" s="83" t="n">
        <x:f>IF(I10="","",H10+I10)</x:f>
        <x:v>4050</x:v>
      </x:c>
      <x:c r="K10" s="85" t="n">
        <x:v>67</x:v>
      </x:c>
      <x:c r="L10" s="87" t="n">
        <x:f>IFERROR(H10/K10,"")</x:f>
        <x:v>47.76119402985075</x:v>
      </x:c>
      <x:c r="M10" s="89" t="n">
        <x:v>3</x:v>
      </x:c>
      <x:c r="N10" s="81" t="str">
        <x:v>Brak info</x:v>
      </x:c>
      <x:c r="O10" s="62" t="str">
        <x:v>balkon, piwnica 8 m², garaż opcj. 200 zł</x:v>
      </x:c>
      <x:c r="P10" s="62" t="str">
        <x:v>Duże, 2 sypialnie + salon, osobne WC; dobra relacja cena/metraż.</x:v>
      </x:c>
      <x:c r="Q10" s="62" t="str">
        <x:v>850 zł czynszu admin. + prąd; garaż opcj. 200 zł</x:v>
      </x:c>
      <x:c r="R10" s="62" t="str"/>
      <x:c r="S10" s="62" t="str">
        <x:v>https://gratka.pl/nieruchomosci/mieszkanie-wroclaw-krzyki/ob/48595177</x:v>
      </x:c>
      <x:c r="T10" s="79" t="n">
        <x:v>46295</x:v>
      </x:c>
    </x:row>
    <x:row r="11" ht="42" customHeight="1">
      <x:c r="A11" s="79" t="n">
        <x:v>46295</x:v>
      </x:c>
      <x:c r="B11" s="79"/>
      <x:c r="C11" s="81" t="str">
        <x:f>IF(A11=DATE(2026,9,30),"TAK","")</x:f>
        <x:v>TAK</x:v>
      </x:c>
      <x:c r="D11" s="81" t="str">
        <x:v>Ciekawe</x:v>
      </x:c>
      <x:c r="E11" s="81" t="str">
        <x:v>Aktywne</x:v>
      </x:c>
      <x:c r="F11" s="62" t="str">
        <x:v>Klecina</x:v>
      </x:c>
      <x:c r="G11" s="81" t="str">
        <x:v>OLX</x:v>
      </x:c>
      <x:c r="H11" s="83" t="n">
        <x:v>2900</x:v>
      </x:c>
      <x:c r="I11" s="83" t="n">
        <x:v>790</x:v>
      </x:c>
      <x:c r="J11" s="83" t="n">
        <x:f>IF(I11="","",H11+I11)</x:f>
        <x:v>3690</x:v>
      </x:c>
      <x:c r="K11" s="85" t="n">
        <x:v>70</x:v>
      </x:c>
      <x:c r="L11" s="87" t="n">
        <x:f>IFERROR(H11/K11,"")</x:f>
        <x:v>41.42857142857143</x:v>
      </x:c>
      <x:c r="M11" s="89" t="n">
        <x:v>3</x:v>
      </x:c>
      <x:c r="N11" s="81" t="str">
        <x:v>Do uzgodnienia</x:v>
      </x:c>
      <x:c r="O11" s="62" t="str">
        <x:v>balkon, duży metraż</x:v>
      </x:c>
      <x:c r="P11" s="62" t="str">
        <x:v>70 m² za 2900 zł; właściciel dopuszcza możliwość dogadania zwierzęcia.</x:v>
      </x:c>
      <x:c r="Q11" s="62" t="str">
        <x:v>790 zł czynszu + media wg zużycia</x:v>
      </x:c>
      <x:c r="R11" s="62" t="str"/>
      <x:c r="S11" s="62" t="str">
        <x:v>https://www.olx.pl/d/oferta/mieszkanie-70m-dla-pary-klecina-CID3-ID1cn06h.html</x:v>
      </x:c>
      <x:c r="T11" s="79" t="n">
        <x:v>46295</x:v>
      </x:c>
    </x:row>
    <x:row r="12" ht="42" customHeight="1">
      <x:c r="A12" s="79" t="n">
        <x:v>46295</x:v>
      </x:c>
      <x:c r="B12" s="79"/>
      <x:c r="C12" s="81" t="str">
        <x:f>IF(A12=DATE(2026,9,30),"TAK","")</x:f>
        <x:v>TAK</x:v>
      </x:c>
      <x:c r="D12" s="81" t="str">
        <x:v>Do sprawdzenia</x:v>
      </x:c>
      <x:c r="E12" s="81" t="str">
        <x:v>Aktywne</x:v>
      </x:c>
      <x:c r="F12" s="62" t="str">
        <x:v>Partynice / Zwycięska 33</x:v>
      </x:c>
      <x:c r="G12" s="81" t="str">
        <x:v>OLX</x:v>
      </x:c>
      <x:c r="H12" s="83" t="n">
        <x:v>3590</x:v>
      </x:c>
      <x:c r="I12" s="83" t="n">
        <x:v>1110</x:v>
      </x:c>
      <x:c r="J12" s="83" t="n">
        <x:f>IF(I12="","",H12+I12)</x:f>
        <x:v>4700</x:v>
      </x:c>
      <x:c r="K12" s="85" t="n">
        <x:v>70</x:v>
      </x:c>
      <x:c r="L12" s="87" t="n">
        <x:f>IFERROR(H12/K12,"")</x:f>
        <x:v>51.285714285714285</x:v>
      </x:c>
      <x:c r="M12" s="89" t="n">
        <x:v>3</x:v>
      </x:c>
      <x:c r="N12" s="81" t="str">
        <x:v>Brak info</x:v>
      </x:c>
      <x:c r="O12" s="62" t="str">
        <x:v>taras 25 m², 2 WC, winda, garaż opcj. 350 zł</x:v>
      </x:c>
      <x:c r="P12" s="62" t="str">
        <x:v>Przestronne, po odświeżeniu, bardzo duży taras. Ogłoszenie odświeżone 29.09.</x:v>
      </x:c>
      <x:c r="Q12" s="62" t="str">
        <x:v>ok. 1050 zł eksploatacja + internet 60 zł + prąd; garaż opcj. 350 zł</x:v>
      </x:c>
      <x:c r="R12" s="62" t="str"/>
      <x:c r="S12" s="62" t="str">
        <x:v>https://www.olx.pl/d/oferta/sloneczne-3-pokoje-25-m-taras-garaz-podziemny-zwycieska-33-CID3-ID1cmX0w.html</x:v>
      </x:c>
      <x:c r="T12" s="79" t="n">
        <x:v>46295</x:v>
      </x:c>
    </x:row>
    <x:row r="13" ht="42" customHeight="1">
      <x:c r="A13" s="79" t="n">
        <x:v>46294</x:v>
      </x:c>
      <x:c r="B13" s="79" t="n">
        <x:v>46279</x:v>
      </x:c>
      <x:c r="C13" s="81" t="str">
        <x:f>IF(A13=DATE(2026,9,30),"TAK","")</x:f>
      </x:c>
      <x:c r="D13" s="81" t="str">
        <x:v>Do sprawdzenia</x:v>
      </x:c>
      <x:c r="E13" s="81" t="str">
        <x:v>Aktywne</x:v>
      </x:c>
      <x:c r="F13" s="62" t="str">
        <x:v>Ołtaszyn / ul. Orawska</x:v>
      </x:c>
      <x:c r="G13" s="81" t="str">
        <x:v>OLX</x:v>
      </x:c>
      <x:c r="H13" s="83" t="n">
        <x:v>3700</x:v>
      </x:c>
      <x:c r="I13" s="83"/>
      <x:c r="J13" s="83" t="str">
        <x:f>IF(I13="","",H13+I13)</x:f>
      </x:c>
      <x:c r="K13" s="85" t="n">
        <x:v>48</x:v>
      </x:c>
      <x:c r="L13" s="87" t="n">
        <x:f>IFERROR(H13/K13,"")</x:f>
        <x:v>77.08333333333333</x:v>
      </x:c>
      <x:c r="M13" s="89" t="n">
        <x:v>3</x:v>
      </x:c>
      <x:c r="N13" s="81" t="str">
        <x:v>Tak</x:v>
      </x:c>
      <x:c r="O13" s="62" t="str">
        <x:v>balkon, winda, pierwszy najem, garaż opcjonalny</x:v>
      </x:c>
      <x:c r="P13" s="62" t="str">
        <x:v>Nowe, pierwszy najem, 2 sypialnie + salon z kuchnią; kot akceptowany.</x:v>
      </x:c>
      <x:c r="Q13" s="62" t="str">
        <x:v>czynsz administracyjny + media wg zużycia (kwota niepodana)</x:v>
      </x:c>
      <x:c r="R13" s="62" t="str"/>
      <x:c r="S13" s="62" t="str">
        <x:v>https://www.olx.pl/d/oferta/3-pokojowe-mieszkanie-na-oltaszynie-na-wynajem-CID3-ID1cjKQS.html</x:v>
      </x:c>
      <x:c r="T13" s="79" t="n">
        <x:v>46295</x:v>
      </x:c>
    </x:row>
    <x:row r="14" ht="42" customHeight="1">
      <x:c r="A14" s="79" t="n">
        <x:v>46294</x:v>
      </x:c>
      <x:c r="B14" s="79" t="n">
        <x:v>46277</x:v>
      </x:c>
      <x:c r="C14" s="81" t="str">
        <x:f>IF(A14=DATE(2026,9,30),"TAK","")</x:f>
      </x:c>
      <x:c r="D14" s="81" t="str">
        <x:v>Ciekawe</x:v>
      </x:c>
      <x:c r="E14" s="81" t="str">
        <x:v>Aktywne</x:v>
      </x:c>
      <x:c r="F14" s="62" t="str">
        <x:v>Klecina / ul. Rodzinna</x:v>
      </x:c>
      <x:c r="G14" s="81" t="str">
        <x:v>OLX</x:v>
      </x:c>
      <x:c r="H14" s="83" t="n">
        <x:v>3350</x:v>
      </x:c>
      <x:c r="I14" s="83" t="n">
        <x:v>1572</x:v>
      </x:c>
      <x:c r="J14" s="83" t="n">
        <x:f>IF(I14="","",H14+I14)</x:f>
        <x:v>4922</x:v>
      </x:c>
      <x:c r="K14" s="85" t="n">
        <x:v>61</x:v>
      </x:c>
      <x:c r="L14" s="87" t="n">
        <x:f>IFERROR(H14/K14,"")</x:f>
        <x:v>54.91803278688525</x:v>
      </x:c>
      <x:c r="M14" s="89" t="n">
        <x:v>3</x:v>
      </x:c>
      <x:c r="N14" s="81" t="str">
        <x:v>Tak</x:v>
      </x:c>
      <x:c r="O14" s="62" t="str">
        <x:v>taras 12,5 m², klimatyzacja, garaż w cenie</x:v>
      </x:c>
      <x:c r="P14" s="62" t="str">
        <x:v>Bardzo dobry układ i dodatki; zwierzęta wprost akceptowane.</x:v>
      </x:c>
      <x:c r="Q14" s="62" t="str">
        <x:v>1252 zł czynszu + 160 zł prądu + 160 zł internetu</x:v>
      </x:c>
      <x:c r="R14" s="62" t="str"/>
      <x:c r="S14" s="62" t="str">
        <x:v>https://www.olx.pl/d/oferta/mieszkanie-61-mkw-klecina-ul-rodzinna-garaz-taras-CID3-ID1ciiwz.html</x:v>
      </x:c>
      <x:c r="T14" s="79" t="n">
        <x:v>46295</x:v>
      </x:c>
    </x:row>
    <x:row r="15" ht="42" customHeight="1">
      <x:c r="A15" s="79" t="n">
        <x:v>46293</x:v>
      </x:c>
      <x:c r="B15" s="79" t="n">
        <x:v>46289</x:v>
      </x:c>
      <x:c r="C15" s="81" t="str">
        <x:f>IF(A15=DATE(2026,9,30),"TAK","")</x:f>
      </x:c>
      <x:c r="D15" s="81" t="str">
        <x:v>Ciekawe</x:v>
      </x:c>
      <x:c r="E15" s="81" t="str">
        <x:v>Aktywne</x:v>
      </x:c>
      <x:c r="F15" s="62" t="str">
        <x:v>Krzyki / Park Południowy–Skowroniego</x:v>
      </x:c>
      <x:c r="G15" s="81" t="str">
        <x:v>OLX</x:v>
      </x:c>
      <x:c r="H15" s="83" t="n">
        <x:v>3000</x:v>
      </x:c>
      <x:c r="I15" s="83" t="n">
        <x:v>650</x:v>
      </x:c>
      <x:c r="J15" s="83" t="n">
        <x:f>IF(I15="","",H15+I15)</x:f>
        <x:v>3650</x:v>
      </x:c>
      <x:c r="K15" s="85" t="n">
        <x:v>65</x:v>
      </x:c>
      <x:c r="L15" s="87" t="n">
        <x:f>IFERROR(H15/K15,"")</x:f>
        <x:v>46.15384615384615</x:v>
      </x:c>
      <x:c r="M15" s="89" t="n">
        <x:v>3</x:v>
      </x:c>
      <x:c r="N15" s="81" t="str">
        <x:v>Tak</x:v>
      </x:c>
      <x:c r="O15" s="62" t="str">
        <x:v>parter, kuchnia i łazienka z oknem</x:v>
      </x:c>
      <x:c r="P15" s="62" t="str">
        <x:v>Prywatne; zwierzęta mile widziane. Dobra cena i niski czynsz administracyjny.</x:v>
      </x:c>
      <x:c r="Q15" s="62" t="str">
        <x:v>650 zł czynszu + gaz i prąd wg zużycia</x:v>
      </x:c>
      <x:c r="R15" s="62" t="str"/>
      <x:c r="S15" s="62" t="str">
        <x:v>https://www.olx.pl/d/oferta/wygodne-mieszkanie-CID3-ID1ctMuJ.html</x:v>
      </x:c>
      <x:c r="T15" s="79" t="n">
        <x:v>46295</x:v>
      </x:c>
    </x:row>
    <x:row r="16" ht="42" customHeight="1">
      <x:c r="A16" s="79" t="n">
        <x:v>46293</x:v>
      </x:c>
      <x:c r="B16" s="79" t="n">
        <x:v>46289</x:v>
      </x:c>
      <x:c r="C16" s="81" t="str">
        <x:f>IF(A16=DATE(2026,9,30),"TAK","")</x:f>
      </x:c>
      <x:c r="D16" s="81" t="str">
        <x:v>Odrzucone</x:v>
      </x:c>
      <x:c r="E16" s="81" t="str">
        <x:v>Aktywne</x:v>
      </x:c>
      <x:c r="F16" s="62" t="str">
        <x:v>Borek / ul. Cisowa</x:v>
      </x:c>
      <x:c r="G16" s="81" t="str">
        <x:v>OLX</x:v>
      </x:c>
      <x:c r="H16" s="83" t="n">
        <x:v>3500</x:v>
      </x:c>
      <x:c r="I16" s="83" t="n">
        <x:v>500</x:v>
      </x:c>
      <x:c r="J16" s="83" t="n">
        <x:f>IF(I16="","",H16+I16)</x:f>
        <x:v>4000</x:v>
      </x:c>
      <x:c r="K16" s="85" t="n">
        <x:v>58</x:v>
      </x:c>
      <x:c r="L16" s="87" t="n">
        <x:f>IFERROR(H16/K16,"")</x:f>
        <x:v>60.3448275862069</x:v>
      </x:c>
      <x:c r="M16" s="89" t="n">
        <x:v>3</x:v>
      </x:c>
      <x:c r="N16" s="81" t="str">
        <x:v>Nie</x:v>
      </x:c>
      <x:c r="O16" s="62" t="str">
        <x:v>klimatyzacja, spokojna ulica, Park Południowy</x:v>
      </x:c>
      <x:c r="P16" s="62" t="str">
        <x:v>Dobra lokalizacja i opłaty, ale właściciel wprost wyklucza zwierzęta.</x:v>
      </x:c>
      <x:c r="Q16" s="62" t="str">
        <x:v>ok. 500 zł czynszu + media</x:v>
      </x:c>
      <x:c r="R16" s="62" t="str"/>
      <x:c r="S16" s="62" t="str">
        <x:v>https://www.olx.pl/d/oferta/mieszkanie-3-pokoje-super-lokalizacja-wroclaw-ul-cisowa-CID3-ID1ctc2X.html</x:v>
      </x:c>
      <x:c r="T16" s="79" t="n">
        <x:v>46295</x:v>
      </x:c>
    </x:row>
    <x:row r="17" ht="42" customHeight="1">
      <x:c r="A17" s="79" t="n">
        <x:v>46289</x:v>
      </x:c>
      <x:c r="B17" s="79"/>
      <x:c r="C17" s="81" t="str">
        <x:f>IF(A17=DATE(2026,9,30),"TAK","")</x:f>
      </x:c>
      <x:c r="D17" s="81" t="str">
        <x:v>Do sprawdzenia</x:v>
      </x:c>
      <x:c r="E17" s="81" t="str">
        <x:v>Do weryfikacji</x:v>
      </x:c>
      <x:c r="F17" s="62" t="str">
        <x:v>Klecina / ul. Partynicka 3d</x:v>
      </x:c>
      <x:c r="G17" s="81" t="str">
        <x:v>Otodom</x:v>
      </x:c>
      <x:c r="H17" s="83" t="n">
        <x:v>3000</x:v>
      </x:c>
      <x:c r="I17" s="83" t="n">
        <x:v>1200</x:v>
      </x:c>
      <x:c r="J17" s="83" t="n">
        <x:f>IF(I17="","",H17+I17)</x:f>
        <x:v>4200</x:v>
      </x:c>
      <x:c r="K17" s="85" t="n">
        <x:v>59</x:v>
      </x:c>
      <x:c r="L17" s="87" t="n">
        <x:f>IFERROR(H17/K17,"")</x:f>
        <x:v>50.847457627118644</x:v>
      </x:c>
      <x:c r="M17" s="89" t="n">
        <x:v>3</x:v>
      </x:c>
      <x:c r="N17" s="81" t="str">
        <x:v>Brak info</x:v>
      </x:c>
      <x:c r="O17" s="62" t="str">
        <x:v>duży balkon, osobna kuchnia, winda, garaż opcj. 250 zł</x:v>
      </x:c>
      <x:c r="P17" s="62" t="str">
        <x:v>Dobra cena; Park Kleciński blisko. Wymaga ponownej weryfikacji dostępności.</x:v>
      </x:c>
      <x:c r="Q17" s="62" t="str">
        <x:v>ok. 1200 zł czynszu + prąd; garaż opcj. 250 zł</x:v>
      </x:c>
      <x:c r="R17" s="62" t="str"/>
      <x:c r="S17" s="62" t="str">
        <x:v>https://www.otodom.pl/pl/oferta/3-pokoje-duzy-balkon-zielona-okolica-ul-partynicka-3d-klecina-ID4DdCK</x:v>
      </x:c>
      <x:c r="T17" s="79" t="n">
        <x:v>46289</x:v>
      </x:c>
    </x:row>
    <x:row r="18" ht="42" customHeight="1">
      <x:c r="A18" s="79" t="n">
        <x:v>46285</x:v>
      </x:c>
      <x:c r="B18" s="79" t="n">
        <x:v>46283</x:v>
      </x:c>
      <x:c r="C18" s="81" t="str">
        <x:f>IF(A18=DATE(2026,9,30),"TAK","")</x:f>
      </x:c>
      <x:c r="D18" s="81" t="str">
        <x:v>Ciekawe</x:v>
      </x:c>
      <x:c r="E18" s="81" t="str">
        <x:v>Aktywne</x:v>
      </x:c>
      <x:c r="F18" s="62" t="str">
        <x:v>Wysoka / przy Parku Klecińskim</x:v>
      </x:c>
      <x:c r="G18" s="81" t="str">
        <x:v>OLX</x:v>
      </x:c>
      <x:c r="H18" s="83" t="n">
        <x:v>3300</x:v>
      </x:c>
      <x:c r="I18" s="83" t="n">
        <x:v>800</x:v>
      </x:c>
      <x:c r="J18" s="83" t="n">
        <x:f>IF(I18="","",H18+I18)</x:f>
        <x:v>4100</x:v>
      </x:c>
      <x:c r="K18" s="85" t="n">
        <x:v>60</x:v>
      </x:c>
      <x:c r="L18" s="87" t="n">
        <x:f>IFERROR(H18/K18,"")</x:f>
        <x:v>55</x:v>
      </x:c>
      <x:c r="M18" s="89" t="n">
        <x:v>3</x:v>
      </x:c>
      <x:c r="N18" s="81" t="str">
        <x:v>Tak</x:v>
      </x:c>
      <x:c r="O18" s="62" t="str">
        <x:v>duży taras + balkon, zieleń</x:v>
      </x:c>
      <x:c r="P18" s="62" t="str">
        <x:v>Zwierzęta akceptowane; 2 sypialnie + salon z aneksem; cena do negocjacji.</x:v>
      </x:c>
      <x:c r="Q18" s="62" t="str">
        <x:v>ok. 800 zł opłat eksploatacyjnych</x:v>
      </x:c>
      <x:c r="R18" s="62" t="str"/>
      <x:c r="S18" s="62" t="str">
        <x:v>https://www.olx.pl/d/oferta/3-pokojowe-mieszkanie-o-powierzchni-60-m2-wroclaw-krzyki-CID3-ID1cnC7N.html</x:v>
      </x:c>
      <x:c r="T18" s="79" t="n">
        <x:v>46295</x:v>
      </x:c>
    </x:row>
    <x:row r="19" ht="42" customHeight="1">
      <x:c r="A19" s="79" t="n">
        <x:v>46285</x:v>
      </x:c>
      <x:c r="B19" s="79"/>
      <x:c r="C19" s="81" t="str">
        <x:f>IF(A19=DATE(2026,9,30),"TAK","")</x:f>
      </x:c>
      <x:c r="D19" s="81" t="str">
        <x:v>Do sprawdzenia</x:v>
      </x:c>
      <x:c r="E19" s="81" t="str">
        <x:v>Do weryfikacji</x:v>
      </x:c>
      <x:c r="F19" s="62" t="str">
        <x:v>Wysoka / Cztery Podkowy</x:v>
      </x:c>
      <x:c r="G19" s="81" t="str">
        <x:v>Okolica</x:v>
      </x:c>
      <x:c r="H19" s="83" t="n">
        <x:v>2500</x:v>
      </x:c>
      <x:c r="I19" s="83" t="n">
        <x:v>1530</x:v>
      </x:c>
      <x:c r="J19" s="83" t="n">
        <x:f>IF(I19="","",H19+I19)</x:f>
        <x:v>4030</x:v>
      </x:c>
      <x:c r="K19" s="85" t="n">
        <x:v>78</x:v>
      </x:c>
      <x:c r="L19" s="87" t="n">
        <x:f>IFERROR(H19/K19,"")</x:f>
        <x:v>32.05128205128205</x:v>
      </x:c>
      <x:c r="M19" s="89" t="n">
        <x:v>3</x:v>
      </x:c>
      <x:c r="N19" s="81" t="str">
        <x:v>Brak info</x:v>
      </x:c>
      <x:c r="O19" s="62" t="str">
        <x:v>2 łazienki, duży metraż</x:v>
      </x:c>
      <x:c r="P19" s="62" t="str">
        <x:v>Bardzo niska cena jak na metraż; wymaga sprawdzenia aktualności i zgody na kota.</x:v>
      </x:c>
      <x:c r="Q19" s="62" t="str">
        <x:v>ok. 1530 zł administracja/media wg poprzedniego ogłoszenia</x:v>
      </x:c>
      <x:c r="R19" s="62" t="str"/>
      <x:c r="S19" s="62" t="str">
        <x:v>https://www.okolica.pl/offer/show/34912-W-39743_4034_OMW/formular</x:v>
      </x:c>
      <x:c r="T19" s="79" t="n">
        <x:v>46285</x:v>
      </x:c>
    </x:row>
    <x:row r="20" ht="42" customHeight="1">
      <x:c r="A20" s="79" t="n">
        <x:v>46284</x:v>
      </x:c>
      <x:c r="B20" s="79" t="n">
        <x:v>46283</x:v>
      </x:c>
      <x:c r="C20" s="81" t="str">
        <x:f>IF(A20=DATE(2026,9,30),"TAK","")</x:f>
      </x:c>
      <x:c r="D20" s="81" t="str">
        <x:v>Ciekawe</x:v>
      </x:c>
      <x:c r="E20" s="81" t="str">
        <x:v>Aktywne</x:v>
      </x:c>
      <x:c r="F20" s="62" t="str">
        <x:v>Ołtaszyn / ul. Obrońców Poczty Gdańskiej</x:v>
      </x:c>
      <x:c r="G20" s="81" t="str">
        <x:v>Gratka</x:v>
      </x:c>
      <x:c r="H20" s="83" t="n">
        <x:v>2600</x:v>
      </x:c>
      <x:c r="I20" s="83" t="n">
        <x:v>1700</x:v>
      </x:c>
      <x:c r="J20" s="83" t="n">
        <x:f>IF(I20="","",H20+I20)</x:f>
        <x:v>4300</x:v>
      </x:c>
      <x:c r="K20" s="85" t="n">
        <x:v>60.22</x:v>
      </x:c>
      <x:c r="L20" s="87" t="n">
        <x:f>IFERROR(H20/K20,"")</x:f>
        <x:v>43.17502490866822</x:v>
      </x:c>
      <x:c r="M20" s="89" t="n">
        <x:v>3</x:v>
      </x:c>
      <x:c r="N20" s="81" t="str">
        <x:v>Brak info</x:v>
      </x:c>
      <x:c r="O20" s="62" t="str">
        <x:v>taras + balkon, miejsce postojowe, komórka</x:v>
      </x:c>
      <x:c r="P20" s="62" t="str">
        <x:v>Jedna z najlepszych cen; funkcjonalny układ, spokojna lokalizacja.</x:v>
      </x:c>
      <x:c r="Q20" s="62" t="str">
        <x:v>1300 zł admin. + 200 zł parking/komórka + ok. 200 zł prądu</x:v>
      </x:c>
      <x:c r="R20" s="62" t="str"/>
      <x:c r="S20" s="62" t="str">
        <x:v>https://gratka.pl/nieruchomosci/mieszkanie-wroclaw-krzyki-obroncow-poczty-gdanskiej/ob/49012341</x:v>
      </x:c>
      <x:c r="T20" s="79" t="n">
        <x:v>46295</x:v>
      </x:c>
    </x:row>
    <x:row r="21" ht="42" customHeight="1">
      <x:c r="A21" s="79" t="n">
        <x:v>46283</x:v>
      </x:c>
      <x:c r="B21" s="79" t="n">
        <x:v>46272</x:v>
      </x:c>
      <x:c r="C21" s="81" t="str">
        <x:f>IF(A21=DATE(2026,9,30),"TAK","")</x:f>
      </x:c>
      <x:c r="D21" s="81" t="str">
        <x:v>Do sprawdzenia</x:v>
      </x:c>
      <x:c r="E21" s="81" t="str">
        <x:v>Do weryfikacji</x:v>
      </x:c>
      <x:c r="F21" s="62" t="str">
        <x:v>Partynice / ul. Partynicka</x:v>
      </x:c>
      <x:c r="G21" s="81" t="str">
        <x:v>Otodom</x:v>
      </x:c>
      <x:c r="H21" s="83" t="n">
        <x:v>3500</x:v>
      </x:c>
      <x:c r="I21" s="83" t="n">
        <x:v>800</x:v>
      </x:c>
      <x:c r="J21" s="83" t="n">
        <x:f>IF(I21="","",H21+I21)</x:f>
        <x:v>4300</x:v>
      </x:c>
      <x:c r="K21" s="85" t="n">
        <x:v>54</x:v>
      </x:c>
      <x:c r="L21" s="87" t="n">
        <x:f>IFERROR(H21/K21,"")</x:f>
        <x:v>64.81481481481481</x:v>
      </x:c>
      <x:c r="M21" s="89" t="n">
        <x:v>3</x:v>
      </x:c>
      <x:c r="N21" s="81" t="str">
        <x:v>Brak info</x:v>
      </x:c>
      <x:c r="O21" s="62" t="str">
        <x:v>pierwszy najem, balkon, winda, komórka; garaż opcj. 250 zł</x:v>
      </x:c>
      <x:c r="P21" s="62" t="str">
        <x:v>Nowe budownictwo, wysoki standard; prawdopodobnie ta sama oferta omawiana 7.09.</x:v>
      </x:c>
      <x:c r="Q21" s="62" t="str">
        <x:v>ok. 800 zł czynszu + media; garaż opcj. 250 zł</x:v>
      </x:c>
      <x:c r="R21" s="62" t="str"/>
      <x:c r="S21" s="62" t="str">
        <x:v>https://www.otodom.pl/pl/oferta/mieszkanie-na-wynajem-wroclaw-3-pokoje-ID4CXwk</x:v>
      </x:c>
      <x:c r="T21" s="79" t="n">
        <x:v>46283</x:v>
      </x:c>
    </x:row>
    <x:row r="22" ht="42" customHeight="1">
      <x:c r="A22" s="79" t="n">
        <x:v>46282</x:v>
      </x:c>
      <x:c r="B22" s="79" t="n">
        <x:v>46280</x:v>
      </x:c>
      <x:c r="C22" s="81" t="str">
        <x:f>IF(A22=DATE(2026,9,30),"TAK","")</x:f>
      </x:c>
      <x:c r="D22" s="81" t="str">
        <x:v>Do sprawdzenia</x:v>
      </x:c>
      <x:c r="E22" s="81" t="str">
        <x:v>Do weryfikacji</x:v>
      </x:c>
      <x:c r="F22" s="62" t="str">
        <x:v>Klecina / przy Parku Klecińskim</x:v>
      </x:c>
      <x:c r="G22" s="81" t="str">
        <x:v>Otodom</x:v>
      </x:c>
      <x:c r="H22" s="83" t="n">
        <x:v>3300</x:v>
      </x:c>
      <x:c r="I22" s="83"/>
      <x:c r="J22" s="83" t="str">
        <x:f>IF(I22="","",H22+I22)</x:f>
      </x:c>
      <x:c r="K22" s="85" t="n">
        <x:v>62</x:v>
      </x:c>
      <x:c r="L22" s="87" t="n">
        <x:f>IFERROR(H22/K22,"")</x:f>
        <x:v>53.225806451612904</x:v>
      </x:c>
      <x:c r="M22" s="89" t="n">
        <x:v>3</x:v>
      </x:c>
      <x:c r="N22" s="81" t="str">
        <x:v>Brak info</x:v>
      </x:c>
      <x:c r="O22" s="62" t="str">
        <x:v>klimatyzacja, balkon, garaż w cenie</x:v>
      </x:c>
      <x:c r="P22" s="62" t="str">
        <x:v>Dobry standard i garaż w cenie; sprawdzić aktualność i kota.</x:v>
      </x:c>
      <x:c r="Q22" s="62" t="str">
        <x:v>opłaty nieustalone w naszej notatce</x:v>
      </x:c>
      <x:c r="R22" s="62" t="str"/>
      <x:c r="S22" s="62" t="str">
        <x:v>https://www.otodom.pl/pl/oferta/3-pokojowe-mieszkanie-z-klimatyzacja-balkonem-i-garazem-ID4D5nu</x:v>
      </x:c>
      <x:c r="T22" s="79" t="n">
        <x:v>46282</x:v>
      </x:c>
    </x:row>
    <x:row r="23" ht="42" customHeight="1">
      <x:c r="A23" s="79" t="n">
        <x:v>46282</x:v>
      </x:c>
      <x:c r="B23" s="79" t="n">
        <x:v>46280</x:v>
      </x:c>
      <x:c r="C23" s="81" t="str">
        <x:f>IF(A23=DATE(2026,9,30),"TAK","")</x:f>
      </x:c>
      <x:c r="D23" s="81" t="str">
        <x:v>Do sprawdzenia</x:v>
      </x:c>
      <x:c r="E23" s="81" t="str">
        <x:v>Do weryfikacji</x:v>
      </x:c>
      <x:c r="F23" s="62" t="str">
        <x:v>Wysoka / ul. Cztery Podkowy</x:v>
      </x:c>
      <x:c r="G23" s="81" t="str">
        <x:v>Morizon</x:v>
      </x:c>
      <x:c r="H23" s="83" t="n">
        <x:v>2750</x:v>
      </x:c>
      <x:c r="I23" s="83"/>
      <x:c r="J23" s="83" t="str">
        <x:f>IF(I23="","",H23+I23)</x:f>
      </x:c>
      <x:c r="K23" s="85" t="n">
        <x:v>52</x:v>
      </x:c>
      <x:c r="L23" s="87" t="n">
        <x:f>IFERROR(H23/K23,"")</x:f>
        <x:v>52.88461538461539</x:v>
      </x:c>
      <x:c r="M23" s="89" t="n">
        <x:v>3</x:v>
      </x:c>
      <x:c r="N23" s="81" t="str">
        <x:v>Brak info</x:v>
      </x:c>
      <x:c r="O23" s="62" t="str">
        <x:v>klimatyzacja, balkon, winda, umeblowane</x:v>
      </x:c>
      <x:c r="P23" s="62" t="str">
        <x:v>Dobra cena; salon + 2 sypialnie. Sprawdzić kota i aktualność.</x:v>
      </x:c>
      <x:c r="Q23" s="62" t="str">
        <x:v>opłaty nieustalone w naszej notatce</x:v>
      </x:c>
      <x:c r="R23" s="62" t="str"/>
      <x:c r="S23" s="62" t="str">
        <x:v>https://www.morizon.pl/oferta/wynajem-mieszkanie-wroclawski-kobierzyce-52m2-mzn2047046849</x:v>
      </x:c>
      <x:c r="T23" s="79" t="n">
        <x:v>46282</x:v>
      </x:c>
    </x:row>
    <x:row r="24" ht="42" customHeight="1">
      <x:c r="A24" s="79" t="n">
        <x:v>46276</x:v>
      </x:c>
      <x:c r="B24" s="79" t="n">
        <x:v>46276</x:v>
      </x:c>
      <x:c r="C24" s="81" t="str">
        <x:f>IF(A24=DATE(2026,9,30),"TAK","")</x:f>
      </x:c>
      <x:c r="D24" s="81" t="str">
        <x:v>Do sprawdzenia</x:v>
      </x:c>
      <x:c r="E24" s="81" t="str">
        <x:v>Do weryfikacji</x:v>
      </x:c>
      <x:c r="F24" s="62" t="str">
        <x:v>Krzyki / ul. Przyjaźni</x:v>
      </x:c>
      <x:c r="G24" s="81" t="str">
        <x:v>Morizon</x:v>
      </x:c>
      <x:c r="H24" s="83" t="n">
        <x:v>2800</x:v>
      </x:c>
      <x:c r="I24" s="83" t="n">
        <x:v>912</x:v>
      </x:c>
      <x:c r="J24" s="83" t="n">
        <x:f>IF(I24="","",H24+I24)</x:f>
        <x:v>3712</x:v>
      </x:c>
      <x:c r="K24" s="85" t="n">
        <x:v>60</x:v>
      </x:c>
      <x:c r="L24" s="87" t="n">
        <x:f>IFERROR(H24/K24,"")</x:f>
        <x:v>46.666666666666664</x:v>
      </x:c>
      <x:c r="M24" s="89" t="n">
        <x:v>3</x:v>
      </x:c>
      <x:c r="N24" s="81" t="str">
        <x:v>Brak info</x:v>
      </x:c>
      <x:c r="O24" s="62" t="str">
        <x:v>osobna kuchnia, duży balkon, parking za szlabanem</x:v>
      </x:c>
      <x:c r="P24" s="62" t="str">
        <x:v>Dobra relacja cena/metraż; po remoncie. Sprawdzić aktualność i kota.</x:v>
      </x:c>
      <x:c r="Q24" s="62" t="str">
        <x:v>912 zł czynszu + prąd</x:v>
      </x:c>
      <x:c r="R24" s="62" t="str"/>
      <x:c r="S24" s="62" t="str">
        <x:v>https://www.morizon.pl/oferta/wynajem-mieszkanie-wroclaw-krzyki-przyjazni-60m2-mzn2047025450</x:v>
      </x:c>
      <x:c r="T24" s="79" t="n">
        <x:v>46276</x:v>
      </x:c>
    </x:row>
    <x:row r="25" ht="42" customHeight="1">
      <x:c r="A25" s="79" t="n">
        <x:v>46276</x:v>
      </x:c>
      <x:c r="B25" s="79" t="n">
        <x:v>46234</x:v>
      </x:c>
      <x:c r="C25" s="81" t="str">
        <x:f>IF(A25=DATE(2026,9,30),"TAK","")</x:f>
      </x:c>
      <x:c r="D25" s="81" t="str">
        <x:v>Do sprawdzenia</x:v>
      </x:c>
      <x:c r="E25" s="81" t="str">
        <x:v>Aktywne</x:v>
      </x:c>
      <x:c r="F25" s="62" t="str">
        <x:v>Klecina / ul. Sąsiedzka</x:v>
      </x:c>
      <x:c r="G25" s="81" t="str">
        <x:v>Gratka</x:v>
      </x:c>
      <x:c r="H25" s="83" t="n">
        <x:v>3500</x:v>
      </x:c>
      <x:c r="I25" s="83" t="n">
        <x:v>1100</x:v>
      </x:c>
      <x:c r="J25" s="83" t="n">
        <x:f>IF(I25="","",H25+I25)</x:f>
        <x:v>4600</x:v>
      </x:c>
      <x:c r="K25" s="85" t="n">
        <x:v>78</x:v>
      </x:c>
      <x:c r="L25" s="87" t="n">
        <x:f>IFERROR(H25/K25,"")</x:f>
        <x:v>44.87179487179487</x:v>
      </x:c>
      <x:c r="M25" s="89" t="n">
        <x:v>3</x:v>
      </x:c>
      <x:c r="N25" s="81" t="str">
        <x:v>Brak info</x:v>
      </x:c>
      <x:c r="O25" s="62" t="str">
        <x:v>balkon 10 m², duży metraż, garaż opcj. 200 zł</x:v>
      </x:c>
      <x:c r="P25" s="62" t="str">
        <x:v>Bardzo dobry metraż w cenie; ogłoszenie było aktualizowane 22.09.</x:v>
      </x:c>
      <x:c r="Q25" s="62" t="str">
        <x:v>950 zł czynszu + 150 zł prądu; garaż opcj. 200 zł</x:v>
      </x:c>
      <x:c r="R25" s="62" t="str"/>
      <x:c r="S25" s="62" t="str">
        <x:v>https://gratka.pl/nieruchomosci/mieszkanie-wroclaw-krzyki-sasiedzka/ob/48449017</x:v>
      </x:c>
      <x:c r="T25" s="79" t="n">
        <x:v>46295</x:v>
      </x:c>
    </x:row>
    <x:row r="26" ht="42" customHeight="1">
      <x:c r="A26" s="79" t="n">
        <x:v>46276</x:v>
      </x:c>
      <x:c r="B26" s="79" t="n">
        <x:v>46218</x:v>
      </x:c>
      <x:c r="C26" s="81" t="str">
        <x:f>IF(A26=DATE(2026,9,30),"TAK","")</x:f>
      </x:c>
      <x:c r="D26" s="81" t="str">
        <x:v>Odrzucone</x:v>
      </x:c>
      <x:c r="E26" s="81" t="str">
        <x:v>Do weryfikacji</x:v>
      </x:c>
      <x:c r="F26" s="62" t="str">
        <x:v>Partynice / ul. Kawalerzystów</x:v>
      </x:c>
      <x:c r="G26" s="81" t="str">
        <x:v>Gratka</x:v>
      </x:c>
      <x:c r="H26" s="83" t="n">
        <x:v>3300</x:v>
      </x:c>
      <x:c r="I26" s="83" t="n">
        <x:v>1400</x:v>
      </x:c>
      <x:c r="J26" s="83" t="n">
        <x:f>IF(I26="","",H26+I26)</x:f>
        <x:v>4700</x:v>
      </x:c>
      <x:c r="K26" s="85" t="n">
        <x:v>78</x:v>
      </x:c>
      <x:c r="L26" s="87" t="n">
        <x:f>IFERROR(H26/K26,"")</x:f>
        <x:v>42.30769230769231</x:v>
      </x:c>
      <x:c r="M26" s="89" t="n">
        <x:v>3</x:v>
      </x:c>
      <x:c r="N26" s="81" t="str">
        <x:v>Nie</x:v>
      </x:c>
      <x:c r="O26" s="62" t="str">
        <x:v>2 balkony, duży metraż</x:v>
      </x:c>
      <x:c r="P26" s="62" t="str">
        <x:v>Wcześniej odrzucone ze względu na brak zgody na zwierzęta.</x:v>
      </x:c>
      <x:c r="Q26" s="62" t="str">
        <x:v>ok. 1400 zł opłat wg wcześniejszego ogłoszenia</x:v>
      </x:c>
      <x:c r="R26" s="62" t="str"/>
      <x:c r="S26" s="62" t="str">
        <x:v>https://gratka.pl/nieruchomosci/mieszkanie-wroclaw-krzyki-kawalerzystow/ob/48259887</x:v>
      </x:c>
      <x:c r="T26" s="79" t="n">
        <x:v>46295</x:v>
      </x:c>
    </x:row>
    <x:row r="27" ht="42" customHeight="1">
      <x:c r="A27" s="79" t="n">
        <x:v>46276</x:v>
      </x:c>
      <x:c r="B27" s="79"/>
      <x:c r="C27" s="81" t="str">
        <x:f>IF(A27=DATE(2026,9,30),"TAK","")</x:f>
      </x:c>
      <x:c r="D27" s="81" t="str">
        <x:v>Ciekawe</x:v>
      </x:c>
      <x:c r="E27" s="81" t="str">
        <x:v>Do weryfikacji</x:v>
      </x:c>
      <x:c r="F27" s="62" t="str">
        <x:v>Wysoka</x:v>
      </x:c>
      <x:c r="G27" s="81" t="str">
        <x:v>OLX</x:v>
      </x:c>
      <x:c r="H27" s="83" t="n">
        <x:v>2900</x:v>
      </x:c>
      <x:c r="I27" s="83" t="n">
        <x:v>1300</x:v>
      </x:c>
      <x:c r="J27" s="83" t="n">
        <x:f>IF(I27="","",H27+I27)</x:f>
        <x:v>4200</x:v>
      </x:c>
      <x:c r="K27" s="85" t="n">
        <x:v>73.97</x:v>
      </x:c>
      <x:c r="L27" s="87" t="n">
        <x:f>IFERROR(H27/K27,"")</x:f>
        <x:v>39.20508314181425</x:v>
      </x:c>
      <x:c r="M27" s="89" t="n">
        <x:v>3</x:v>
      </x:c>
      <x:c r="N27" s="81" t="str">
        <x:v>Tak</x:v>
      </x:c>
      <x:c r="O27" s="62" t="str">
        <x:v>balkon z siatką dla kota, garaż opcj. 300 zł</x:v>
      </x:c>
      <x:c r="P27" s="62" t="str">
        <x:v>Bardzo przyjazne kotu; siatka na balkonie. Ogłoszenie stare – sprawdzić, czy nadal realnie dostępne.</x:v>
      </x:c>
      <x:c r="Q27" s="62" t="str">
        <x:v>1300 zł opłat; garaż opcj. 300 zł</x:v>
      </x:c>
      <x:c r="R27" s="62" t="str"/>
      <x:c r="S27" s="62" t="str">
        <x:v>https://www.olx.pl/d/oferta/mieszkanie-3-pokoje-74m2-wysoka-2900zl-CID3-ID1bM5O5.html</x:v>
      </x:c>
      <x:c r="T27" s="79" t="n">
        <x:v>46295</x:v>
      </x:c>
    </x:row>
    <x:row r="28" ht="42" customHeight="1">
      <x:c r="A28" s="79" t="n">
        <x:v>46276</x:v>
      </x:c>
      <x:c r="B28" s="79"/>
      <x:c r="C28" s="81" t="str">
        <x:f>IF(A28=DATE(2026,9,30),"TAK","")</x:f>
      </x:c>
      <x:c r="D28" s="81" t="str">
        <x:v>Nieaktualne</x:v>
      </x:c>
      <x:c r="E28" s="81" t="str">
        <x:v>Nieaktualne</x:v>
      </x:c>
      <x:c r="F28" s="62" t="str">
        <x:v>Klecina / ul. Łanowa</x:v>
      </x:c>
      <x:c r="G28" s="81" t="str">
        <x:v>OLX</x:v>
      </x:c>
      <x:c r="H28" s="83" t="n">
        <x:v>3250</x:v>
      </x:c>
      <x:c r="I28" s="83" t="n">
        <x:v>690</x:v>
      </x:c>
      <x:c r="J28" s="83" t="n">
        <x:f>IF(I28="","",H28+I28)</x:f>
        <x:v>3940</x:v>
      </x:c>
      <x:c r="K28" s="85" t="n">
        <x:v>61</x:v>
      </x:c>
      <x:c r="L28" s="87" t="n">
        <x:f>IFERROR(H28/K28,"")</x:f>
        <x:v>53.278688524590166</x:v>
      </x:c>
      <x:c r="M28" s="89" t="n">
        <x:v>3</x:v>
      </x:c>
      <x:c r="N28" s="81" t="str">
        <x:v>Tak</x:v>
      </x:c>
      <x:c r="O28" s="62" t="str">
        <x:v>balkon, klimatyzacja, garaż</x:v>
      </x:c>
      <x:c r="P28" s="62" t="str">
        <x:v>Oferta była ciekawa i przyjazna zwierzętom, ale link zwraca 410 / ogłoszenie nieaktualne.</x:v>
      </x:c>
      <x:c r="Q28" s="62" t="str">
        <x:v>ok. 690 zł czynszu + media / garaż wg ogłoszenia</x:v>
      </x:c>
      <x:c r="R28" s="62" t="str"/>
      <x:c r="S28" s="62" t="str">
        <x:v>https://www.olx.pl/d/oferta/3-pok-balkon-ac-garaz-klecina-CID3-ID1bydO2.html</x:v>
      </x:c>
      <x:c r="T28" s="79" t="n">
        <x:v>46295</x:v>
      </x:c>
    </x:row>
    <x:row r="29" ht="42" customHeight="1">
      <x:c r="A29" s="79" t="n">
        <x:v>46276</x:v>
      </x:c>
      <x:c r="B29" s="79"/>
      <x:c r="C29" s="81" t="str">
        <x:f>IF(A29=DATE(2026,9,30),"TAK","")</x:f>
      </x:c>
      <x:c r="D29" s="81" t="str">
        <x:v>Do sprawdzenia</x:v>
      </x:c>
      <x:c r="E29" s="81" t="str">
        <x:v>Do weryfikacji</x:v>
      </x:c>
      <x:c r="F29" s="62" t="str">
        <x:v>Zwycięska / Partynice</x:v>
      </x:c>
      <x:c r="G29" s="81" t="str">
        <x:v>OLX</x:v>
      </x:c>
      <x:c r="H29" s="83" t="n">
        <x:v>2999</x:v>
      </x:c>
      <x:c r="I29" s="83" t="n">
        <x:v>1300</x:v>
      </x:c>
      <x:c r="J29" s="83" t="n">
        <x:f>IF(I29="","",H29+I29)</x:f>
        <x:v>4299</x:v>
      </x:c>
      <x:c r="K29" s="85" t="n">
        <x:v>72</x:v>
      </x:c>
      <x:c r="L29" s="87" t="n">
        <x:f>IFERROR(H29/K29,"")</x:f>
        <x:v>41.65277777777778</x:v>
      </x:c>
      <x:c r="M29" s="89" t="n">
        <x:v>3</x:v>
      </x:c>
      <x:c r="N29" s="81" t="str">
        <x:v>Brak info</x:v>
      </x:c>
      <x:c r="O29" s="62" t="str">
        <x:v>2 łazienki, 2 balkony, garaż, piwnica 14 m²</x:v>
      </x:c>
      <x:c r="P29" s="62" t="str">
        <x:v>Duży metraż i dużo dodatków; wymaga aktualizacji informacji o zwierzętach.</x:v>
      </x:c>
      <x:c r="Q29" s="62" t="str">
        <x:v>ok. 1300 zł czynszu + prąd</x:v>
      </x:c>
      <x:c r="R29" s="62" t="str"/>
      <x:c r="S29" s="62" t="str">
        <x:v>https://www.olx.pl/d/oferta/3-pok-mieszkanie-72m2-z-garazem-i-piwnica-ul-zwycieska-CID3-ID1cdYjn.html</x:v>
      </x:c>
      <x:c r="T29" s="79" t="n">
        <x:v>46276</x:v>
      </x:c>
    </x:row>
    <x:row r="30" ht="42" customHeight="1">
      <x:c r="A30" s="79" t="n">
        <x:v>46274</x:v>
      </x:c>
      <x:c r="B30" s="79" t="n">
        <x:v>46274</x:v>
      </x:c>
      <x:c r="C30" s="81" t="str">
        <x:f>IF(A30=DATE(2026,9,30),"TAK","")</x:f>
      </x:c>
      <x:c r="D30" s="81" t="str">
        <x:v>Do sprawdzenia</x:v>
      </x:c>
      <x:c r="E30" s="81" t="str">
        <x:v>Aktywne</x:v>
      </x:c>
      <x:c r="F30" s="62" t="str">
        <x:v>Partynice / ul. Zwycięska</x:v>
      </x:c>
      <x:c r="G30" s="81" t="str">
        <x:v>Gratka</x:v>
      </x:c>
      <x:c r="H30" s="83" t="n">
        <x:v>3500</x:v>
      </x:c>
      <x:c r="I30" s="83" t="n">
        <x:v>1687.85</x:v>
      </x:c>
      <x:c r="J30" s="83" t="n">
        <x:f>IF(I30="","",H30+I30)</x:f>
        <x:v>5187.85</x:v>
      </x:c>
      <x:c r="K30" s="85" t="n">
        <x:v>85.9</x:v>
      </x:c>
      <x:c r="L30" s="87" t="n">
        <x:f>IFERROR(H30/K30,"")</x:f>
        <x:v>40.74505238649592</x:v>
      </x:c>
      <x:c r="M30" s="89" t="n">
        <x:v>3</x:v>
      </x:c>
      <x:c r="N30" s="81" t="str">
        <x:v>Brak info</x:v>
      </x:c>
      <x:c r="O30" s="62" t="str">
        <x:v>garaż + komórka 7 m² w cenie</x:v>
      </x:c>
      <x:c r="P30" s="62" t="str">
        <x:v>Bardzo duży metraż i dobre 41 zł/m²; dostępne od 1 listopada.</x:v>
      </x:c>
      <x:c r="Q30" s="62" t="str">
        <x:v>1487,85 zł opłat + ok. 200 zł prądu</x:v>
      </x:c>
      <x:c r="R30" s="62" t="str"/>
      <x:c r="S30" s="62" t="str">
        <x:v>https://gratka.pl/nieruchomosci/mieszkanie-wroclaw-krzyki-zwycieska/ob/48899299</x:v>
      </x:c>
      <x:c r="T30" s="79" t="n">
        <x:v>46295</x:v>
      </x:c>
    </x:row>
    <x:row r="31" ht="42" customHeight="1">
      <x:c r="A31" s="79" t="n">
        <x:v>46273</x:v>
      </x:c>
      <x:c r="B31" s="79" t="n">
        <x:v>46273</x:v>
      </x:c>
      <x:c r="C31" s="81" t="str">
        <x:f>IF(A31=DATE(2026,9,30),"TAK","")</x:f>
      </x:c>
      <x:c r="D31" s="81" t="str">
        <x:v>Nieaktualne</x:v>
      </x:c>
      <x:c r="E31" s="81" t="str">
        <x:v>Archiwum</x:v>
      </x:c>
      <x:c r="F31" s="62" t="str">
        <x:v>Partynice / ul. Zwycięska</x:v>
      </x:c>
      <x:c r="G31" s="81" t="str">
        <x:v>Domiporta</x:v>
      </x:c>
      <x:c r="H31" s="83" t="n">
        <x:v>2700</x:v>
      </x:c>
      <x:c r="I31" s="83" t="n">
        <x:v>1000</x:v>
      </x:c>
      <x:c r="J31" s="83" t="n">
        <x:f>IF(I31="","",H31+I31)</x:f>
        <x:v>3700</x:v>
      </x:c>
      <x:c r="K31" s="85" t="n">
        <x:v>61.11</x:v>
      </x:c>
      <x:c r="L31" s="87" t="n">
        <x:f>IFERROR(H31/K31,"")</x:f>
        <x:v>44.18262150220913</x:v>
      </x:c>
      <x:c r="M31" s="89" t="n">
        <x:v>3</x:v>
      </x:c>
      <x:c r="N31" s="81" t="str">
        <x:v>Brak info</x:v>
      </x:c>
      <x:c r="O31" s="62" t="str">
        <x:v>balkon, miejsca za szlabanem</x:v>
      </x:c>
      <x:c r="P31" s="62" t="str">
        <x:v>Bardzo dobra cena, ale obecnie widoczna jako archiwalna.</x:v>
      </x:c>
      <x:c r="Q31" s="62" t="str">
        <x:v>ok. 1000 zł wraz z prądem</x:v>
      </x:c>
      <x:c r="R31" s="62" t="str"/>
      <x:c r="S31" s="62" t="str">
        <x:v>https://www.domiporta.pl/nieruchomosci/wynajme-mieszkanie-trzypokojowe-wroclaw-wroclaw-krzyki-zwycieska-61m2/156813965</x:v>
      </x:c>
      <x:c r="T31" s="79" t="n">
        <x:v>46295</x:v>
      </x:c>
    </x:row>
    <x:row r="32" ht="42" customHeight="1">
      <x:c r="A32" s="79" t="n">
        <x:v>46269</x:v>
      </x:c>
      <x:c r="B32" s="79" t="n">
        <x:v>46269</x:v>
      </x:c>
      <x:c r="C32" s="81" t="str">
        <x:f>IF(A32=DATE(2026,9,30),"TAK","")</x:f>
      </x:c>
      <x:c r="D32" s="81" t="str">
        <x:v>Do sprawdzenia</x:v>
      </x:c>
      <x:c r="E32" s="81" t="str">
        <x:v>Aktywne</x:v>
      </x:c>
      <x:c r="F32" s="62" t="str">
        <x:v>Ołtaszyn / ul. Łubinowa</x:v>
      </x:c>
      <x:c r="G32" s="81" t="str">
        <x:v>Gratka</x:v>
      </x:c>
      <x:c r="H32" s="83" t="n">
        <x:v>3390</x:v>
      </x:c>
      <x:c r="I32" s="83" t="n">
        <x:v>600</x:v>
      </x:c>
      <x:c r="J32" s="83" t="n">
        <x:f>IF(I32="","",H32+I32)</x:f>
        <x:v>3990</x:v>
      </x:c>
      <x:c r="K32" s="85" t="n">
        <x:v>58</x:v>
      </x:c>
      <x:c r="L32" s="87" t="n">
        <x:f>IFERROR(H32/K32,"")</x:f>
        <x:v>58.44827586206897</x:v>
      </x:c>
      <x:c r="M32" s="89" t="n">
        <x:v>3</x:v>
      </x:c>
      <x:c r="N32" s="81" t="str">
        <x:v>Brak info</x:v>
      </x:c>
      <x:c r="O32" s="62" t="str">
        <x:v>dwupoziomowe, balkon, klimatyzacja, garaż w cenie</x:v>
      </x:c>
      <x:c r="P32" s="62" t="str">
        <x:v>Ciekawy układ, garaż i klimatyzacja. Aktualnie nadal widoczna w serwisie.</x:v>
      </x:c>
      <x:c r="Q32" s="62" t="str">
        <x:v>ok. 600 zł czynszu + media wg zużycia</x:v>
      </x:c>
      <x:c r="R32" s="62" t="str"/>
      <x:c r="S32" s="62" t="str">
        <x:v>https://gratka.pl/nieruchomosci/mieszkanie-wroclaw-lubinowa/ob/48848051</x:v>
      </x:c>
      <x:c r="T32" s="79" t="n">
        <x:v>46295</x:v>
      </x:c>
    </x:row>
  </x:sheetData>
  <x:mergeCells>
    <x:mergeCell ref="A1:T1"/>
    <x:mergeCell ref="A2:T2"/>
    <x:mergeCell ref="A3:B3"/>
    <x:mergeCell ref="E3:F3"/>
    <x:mergeCell ref="I3:J3"/>
    <x:mergeCell ref="M3:N3"/>
  </x:mergeCells>
  <x:conditionalFormatting sqref="D7:D32">
    <x:cfRule type="expression" dxfId="0" priority="1">
      <x:formula>D7="Ciekawe"</x:formula>
    </x:cfRule>
    <x:cfRule type="expression" dxfId="1" priority="2">
      <x:formula>D7="Do sprawdzenia"</x:formula>
    </x:cfRule>
    <x:cfRule type="expression" dxfId="2" priority="3">
      <x:formula>D7="Odrzucone"</x:formula>
    </x:cfRule>
    <x:cfRule type="expression" dxfId="3" priority="4">
      <x:formula>D7="Nieaktualne"</x:formula>
    </x:cfRule>
    <x:cfRule type="expression" dxfId="4" priority="5">
      <x:formula>D7="Obejrzane"</x:formula>
    </x:cfRule>
  </x:conditionalFormatting>
  <x:conditionalFormatting sqref="N7:N32">
    <x:cfRule type="expression" dxfId="5" priority="6">
      <x:formula>N7="Tak"</x:formula>
    </x:cfRule>
    <x:cfRule type="expression" dxfId="6" priority="7">
      <x:formula>N7="Nie"</x:formula>
    </x:cfRule>
    <x:cfRule type="expression" dxfId="7" priority="8">
      <x:formula>N7="Do uzgodnienia"</x:formula>
    </x:cfRule>
  </x:conditionalFormatting>
  <x:conditionalFormatting sqref="C7:C32">
    <x:cfRule type="expression" dxfId="8" priority="9">
      <x:formula>C7="TAK"</x:formula>
    </x:cfRule>
  </x:conditionalFormatting>
  <x:conditionalFormatting sqref="L7:L32">
    <x:cfRule type="colorScale" priority="10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dataValidations count="3">
    <x:dataValidation type="list" sqref="D7:D32">
      <x:formula1>"Ciekawe,Do sprawdzenia,Obejrzane,Odrzucone,Nieaktualne"</x:formula1>
    </x:dataValidation>
    <x:dataValidation type="list" sqref="E7:E32">
      <x:formula1>"Aktywne,Do weryfikacji,Rezerwacja,Archiwum,Nieaktualne"</x:formula1>
    </x:dataValidation>
    <x:dataValidation type="list" sqref="N7:N32">
      <x:formula1>"Tak,Nie,Do uzgodnienia,Brak info"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fa3f4149014bc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2" hidden="0" customWidth="1"/>
    <x:col min="3" max="3" width="28" hidden="0" customWidth="1"/>
    <x:col min="4" max="4" width="28" hidden="0" customWidth="1"/>
  </x:cols>
  <x:sheetData>
    <x:row r="1">
      <x:c r="A1" s="93" t="str">
        <x:v>Jak korzystać z arkusza</x:v>
      </x:c>
      <x:c r="B1" s="93"/>
      <x:c r="C1" s="93"/>
      <x:c r="D1" s="93"/>
    </x:row>
    <x:row r="2">
      <x:c r="A2" s="56"/>
      <x:c r="B2" s="56"/>
      <x:c r="C2" s="56"/>
      <x:c r="D2" s="56"/>
    </x:row>
    <x:row r="3">
      <x:c r="A3" s="36" t="str">
        <x:v>Status</x:v>
      </x:c>
      <x:c r="B3" s="36" t="str">
        <x:v>Znaczenie</x:v>
      </x:c>
      <x:c r="C3" s="56"/>
      <x:c r="D3" s="56"/>
    </x:row>
    <x:row r="4">
      <x:c r="A4" s="56" t="str">
        <x:v>Ciekawe</x:v>
      </x:c>
      <x:c r="B4" s="56" t="str">
        <x:v>Warte kontaktu / oglądania</x:v>
      </x:c>
      <x:c r="C4" s="56"/>
      <x:c r="D4" s="56"/>
    </x:row>
    <x:row r="5">
      <x:c r="A5" s="56" t="str">
        <x:v>Do sprawdzenia</x:v>
      </x:c>
      <x:c r="B5" s="56" t="str">
        <x:v>Oferta spełnia większość warunków, trzeba doprecyzować szczegóły</x:v>
      </x:c>
      <x:c r="C5" s="56"/>
      <x:c r="D5" s="56"/>
    </x:row>
    <x:row r="6">
      <x:c r="A6" s="56" t="str">
        <x:v>Obejrzane</x:v>
      </x:c>
      <x:c r="B6" s="56" t="str">
        <x:v>Mieszkanie już obejrzane</x:v>
      </x:c>
      <x:c r="C6" s="56"/>
      <x:c r="D6" s="56"/>
    </x:row>
    <x:row r="7">
      <x:c r="A7" s="56" t="str">
        <x:v>Odrzucone</x:v>
      </x:c>
      <x:c r="B7" s="56" t="str">
        <x:v>Nie pasuje, np. brak zgody na kota</x:v>
      </x:c>
      <x:c r="C7" s="56"/>
      <x:c r="D7" s="56"/>
    </x:row>
    <x:row r="8">
      <x:c r="A8" s="56" t="str">
        <x:v>Nieaktualne</x:v>
      </x:c>
      <x:c r="B8" s="56" t="str">
        <x:v>Ogłoszenie zniknęło / archiwum</x:v>
      </x:c>
      <x:c r="C8" s="56"/>
      <x:c r="D8" s="56"/>
    </x:row>
    <x:row r="9">
      <x:c r="A9" s="56"/>
      <x:c r="B9" s="56"/>
      <x:c r="C9" s="56"/>
      <x:c r="D9" s="56"/>
    </x:row>
    <x:row r="10">
      <x:c r="A10" s="36" t="str">
        <x:v>Założenia</x:v>
      </x:c>
      <x:c r="B10" s="36" t="str">
        <x:v>Wartość</x:v>
      </x:c>
      <x:c r="C10" s="56" t="str"/>
      <x:c r="D10" s="56" t="str"/>
    </x:row>
    <x:row r="11">
      <x:c r="A11" s="56" t="str">
        <x:v>Pokoje</x:v>
      </x:c>
      <x:c r="B11" s="56" t="str">
        <x:v>3</x:v>
      </x:c>
      <x:c r="C11" s="56" t="str"/>
      <x:c r="D11" s="56" t="str"/>
    </x:row>
    <x:row r="12">
      <x:c r="A12" s="56" t="str">
        <x:v>Maks. najem</x:v>
      </x:c>
      <x:c r="B12" s="56" t="str">
        <x:v>3700 zł + opłaty</x:v>
      </x:c>
      <x:c r="C12" s="56" t="str"/>
      <x:c r="D12" s="56" t="str"/>
    </x:row>
    <x:row r="13">
      <x:c r="A13" s="56" t="str">
        <x:v>Obszar</x:v>
      </x:c>
      <x:c r="B13" s="56" t="str">
        <x:v>Ołtaszyn + ok. 3 km</x:v>
      </x:c>
      <x:c r="C13" s="56" t="str"/>
      <x:c r="D13" s="56" t="str"/>
    </x:row>
    <x:row r="14">
      <x:c r="A14" s="56" t="str">
        <x:v>Zwierzęta</x:v>
      </x:c>
      <x:c r="B14" s="56" t="str">
        <x:v>Kot: TAK / do uzgodnienia / brak zakazu</x:v>
      </x:c>
      <x:c r="C14" s="56" t="str"/>
      <x:c r="D14" s="56" t="str"/>
    </x:row>
    <x:row r="15">
      <x:c r="A15" s="56"/>
      <x:c r="B15" s="56"/>
      <x:c r="C15" s="56"/>
      <x:c r="D15" s="56"/>
    </x:row>
    <x:row r="16">
      <x:c r="A16" s="94" t="str">
        <x:v>Uwagi</x:v>
      </x:c>
      <x:c r="B16" s="94" t="str"/>
      <x:c r="C16" s="56" t="str"/>
      <x:c r="D16" s="56" t="str"/>
    </x:row>
    <x:row r="17">
      <x:c r="A17" s="56" t="str">
        <x:v>Data znalezienia</x:v>
      </x:c>
      <x:c r="B17" s="56" t="str">
        <x:v>Kiedy oferta pierwszy raz trafiła do naszego zestawienia — po tej dacie arkusz jest sortowany.</x:v>
      </x:c>
      <x:c r="C17" s="56" t="str"/>
      <x:c r="D17" s="56" t="str"/>
    </x:row>
    <x:row r="18">
      <x:c r="A18" s="56" t="str">
        <x:v>Opłaty znane</x:v>
      </x:c>
      <x:c r="B18" s="56" t="str">
        <x:v>Tylko kwoty podane w ogłoszeniu; media wg zużycia mogą nie być doliczone.</x:v>
      </x:c>
      <x:c r="C18" s="56" t="str"/>
      <x:c r="D18" s="56" t="str"/>
    </x:row>
  </x:sheetData>
  <x:mergeCells>
    <x:mergeCell ref="A1:D1"/>
  </x:mergeCells>
  <x:pageMargins left="0.7" right="0.7" top="0.75" bottom="0.75" header="0.3" footer="0.3"/>
</x:worksheet>
</file>